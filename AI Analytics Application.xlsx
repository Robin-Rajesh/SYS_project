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31922FA0-764D-49C6-A350-959E6A345A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hase 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9" i="1" l="1"/>
</calcChain>
</file>

<file path=xl/sharedStrings.xml><?xml version="1.0" encoding="utf-8"?>
<sst xmlns="http://schemas.openxmlformats.org/spreadsheetml/2006/main" count="365" uniqueCount="156">
  <si>
    <t xml:space="preserve">  AI Analytics Portal — Phase 1: Revised Architecture   |   56 sub-tasks  ·  7 completed  ·  19 May – 6 Jun 2026</t>
  </si>
  <si>
    <t>#</t>
  </si>
  <si>
    <t>Module</t>
  </si>
  <si>
    <t>Sub Module</t>
  </si>
  <si>
    <t>Feature Detail</t>
  </si>
  <si>
    <t>Task</t>
  </si>
  <si>
    <t>Sub Task</t>
  </si>
  <si>
    <t>Status</t>
  </si>
  <si>
    <t>Hrs</t>
  </si>
  <si>
    <t>Resource</t>
  </si>
  <si>
    <t>Start</t>
  </si>
  <si>
    <t>End</t>
  </si>
  <si>
    <t>Notes</t>
  </si>
  <si>
    <t>Frontend</t>
  </si>
  <si>
    <t>Analytics Portal</t>
  </si>
  <si>
    <t>Layout &amp; Shell</t>
  </si>
  <si>
    <t>Build Analytics Portal shell</t>
  </si>
  <si>
    <t>Create AnalyticsLayout.jsx with sidebar, top nav and route slots</t>
  </si>
  <si>
    <t>Completed</t>
  </si>
  <si>
    <t>Robin</t>
  </si>
  <si>
    <t>19-May-2026</t>
  </si>
  <si>
    <t>Add Dashboard, Data Explorer and Chat route placeholders</t>
  </si>
  <si>
    <t>Chat UI</t>
  </si>
  <si>
    <t>Build Chat interface</t>
  </si>
  <si>
    <t>Create ChatPage.jsx with message list, input bar and send button</t>
  </si>
  <si>
    <t>Wire SSE stream to chat message list — render tokens as they arrive</t>
  </si>
  <si>
    <t>SSE contract unchanged — backend swap is transparent</t>
  </si>
  <si>
    <t>Add loading spinner and error state for failed stream</t>
  </si>
  <si>
    <t>Data Explorer</t>
  </si>
  <si>
    <t>Build Data Explorer page</t>
  </si>
  <si>
    <t>Create DataExplorer.jsx with table list panel and description sidebar</t>
  </si>
  <si>
    <t>Add empty state and skeleton loader for table list</t>
  </si>
  <si>
    <t>Infrastructure</t>
  </si>
  <si>
    <t>Supabase Setup</t>
  </si>
  <si>
    <t>pgvector</t>
  </si>
  <si>
    <t>Enable pgvector extension</t>
  </si>
  <si>
    <t>Run CREATE EXTENSION IF NOT EXISTS vector; in Supabase SQL editor</t>
  </si>
  <si>
    <t>Not Started</t>
  </si>
  <si>
    <t>20-May-2026</t>
  </si>
  <si>
    <t>One-time Supabase setup</t>
  </si>
  <si>
    <t>Confirm extension is active in Supabase dashboard extensions tab</t>
  </si>
  <si>
    <t>Vector Table</t>
  </si>
  <si>
    <t>Create table_embeddings table</t>
  </si>
  <si>
    <t>CREATE TABLE table_embeddings (table_name TEXT PRIMARY KEY, description TEXT, embedding VECTOR(384), column_hash TEXT, updated_at TIMESTAMPTZ)</t>
  </si>
  <si>
    <t>384 dims = all-MiniLM-L6-v2</t>
  </si>
  <si>
    <t>CREATE INDEX ON table_embeddings USING hnsw (embedding vector_cosine_ops) for fast similarity search</t>
  </si>
  <si>
    <t>HNSW — fastest for cosine similarity at this scale</t>
  </si>
  <si>
    <t>FK Table</t>
  </si>
  <si>
    <t>Create schema_relationships table</t>
  </si>
  <si>
    <t>CREATE TABLE schema_relationships (from_table TEXT, to_table TEXT, from_col TEXT, to_col TEXT)</t>
  </si>
  <si>
    <t>Replaces in-memory dict as persistent FK source</t>
  </si>
  <si>
    <t>CREATE INDEX ON schema_relationships(from_table) for fast FK lookup at query time</t>
  </si>
  <si>
    <t>Shared across all cloud instances; survives restarts</t>
  </si>
  <si>
    <t>Cleanup</t>
  </si>
  <si>
    <t>Remove ChromaDB</t>
  </si>
  <si>
    <t>Remove chromadb from requirements.txt</t>
  </si>
  <si>
    <t>Delete vector_store/ directory from repo and update .gitignore</t>
  </si>
  <si>
    <t>Remove ChromaDB client init block from config.py</t>
  </si>
  <si>
    <t>Remove VECTOR_STORE_DIR path reference from all config and env files</t>
  </si>
  <si>
    <t>Saves ~400MB per deployment</t>
  </si>
  <si>
    <t>Core Engine</t>
  </si>
  <si>
    <t>Schema Sync</t>
  </si>
  <si>
    <t>Change Detection</t>
  </si>
  <si>
    <t>MD5 hash check per table</t>
  </si>
  <si>
    <t>On sync: compute MD5 of (column list + FK set) per table</t>
  </si>
  <si>
    <t>21-May-2026</t>
  </si>
  <si>
    <t>Prevents unnecessary Gemini API calls on every restart</t>
  </si>
  <si>
    <t>Compare hash against column_hash stored in table_embeddings</t>
  </si>
  <si>
    <t>Skip re-embedding if hash unchanged; only process new or modified tables</t>
  </si>
  <si>
    <t>LLM Description</t>
  </si>
  <si>
    <t>Auto-describe tables via Gemini</t>
  </si>
  <si>
    <t>For each new/changed table: send table_name + columns + 3 sample rows to Gemini (temperature=0)</t>
  </si>
  <si>
    <t>22-May-2026</t>
  </si>
  <si>
    <t>Temperature=0 for deterministic output</t>
  </si>
  <si>
    <t>Prompt: 'Write a 2-sentence business description of what this table stores.' Store result in table_embeddings.description</t>
  </si>
  <si>
    <t>Handle Gemini failures — fallback to column-list description if API call fails</t>
  </si>
  <si>
    <t>Embedding</t>
  </si>
  <si>
    <t>Embed descriptions with all-MiniLM-L6-v2</t>
  </si>
  <si>
    <t>Run each Gemini-generated description through HuggingFace all-MiniLM-L6-v2 (local, CPU)</t>
  </si>
  <si>
    <t>Same model already in project — no new dependency</t>
  </si>
  <si>
    <t>Upsert 384-dim vector into table_embeddings.embedding via pgvector</t>
  </si>
  <si>
    <t>FK Persistence</t>
  </si>
  <si>
    <t>Write FK rows to schema_relationships</t>
  </si>
  <si>
    <t>For each table: use SQLAlchemy Inspector to get foreign_keys list</t>
  </si>
  <si>
    <t>23-May-2026</t>
  </si>
  <si>
    <t>DELETE existing rows for this table then INSERT fresh FK rows to remove stale entries</t>
  </si>
  <si>
    <t>Startup Hook</t>
  </si>
  <si>
    <t>Wire sync_schema.py into FastAPI lifespan</t>
  </si>
  <si>
    <t>Call sync_schema() inside FastAPI @asynccontextmanager lifespan on startup</t>
  </si>
  <si>
    <t>Fires automatically on every deploy</t>
  </si>
  <si>
    <t>Log output on startup: tables found, tables updated, tables skipped</t>
  </si>
  <si>
    <t>Query Pipeline</t>
  </si>
  <si>
    <t>Semantic Retrieval</t>
  </si>
  <si>
    <t>pgvector similarity search</t>
  </si>
  <si>
    <t>Embed user question with all-MiniLM-L6-v2 on each query</t>
  </si>
  <si>
    <t>26-May-2026</t>
  </si>
  <si>
    <t>Direct replacement for ChromaDB similarity search</t>
  </si>
  <si>
    <t>Run: SELECT table_name FROM table_embeddings ORDER BY embedding &lt;=&gt; query_vec LIMIT 10</t>
  </si>
  <si>
    <t>Return top-K=10 tables with similarity scores for downstream pruning</t>
  </si>
  <si>
    <t>27-May-2026</t>
  </si>
  <si>
    <t>FK Expansion</t>
  </si>
  <si>
    <t>Load FK dict from Supabase on startup</t>
  </si>
  <si>
    <t>At startup after sync: SELECT * FROM schema_relationships</t>
  </si>
  <si>
    <t>Persistent source solves multi-instance cloud problem</t>
  </si>
  <si>
    <t>Build Python dict {table: [neighbor_tables]} and cache on app state object</t>
  </si>
  <si>
    <t>In-memory for fast traversal; reloaded from Supabase on each restart</t>
  </si>
  <si>
    <t>1-hop FK expansion</t>
  </si>
  <si>
    <t>For each table in top-K, look up dict and add FK neighbours to expanded set</t>
  </si>
  <si>
    <t>Deduplicate expanded set and log final table count</t>
  </si>
  <si>
    <t>Pass full expanded set to SQL agent as context tables list</t>
  </si>
  <si>
    <t>Pruning</t>
  </si>
  <si>
    <t>Layer 1 similarity threshold filter</t>
  </si>
  <si>
    <t>After FK expansion: drop any added table whose cosine similarity is below 0.30 threshold</t>
  </si>
  <si>
    <t>28-May-2026</t>
  </si>
  <si>
    <t>Make threshold configurable via PRUNING_THRESHOLD in .env — default 0.30</t>
  </si>
  <si>
    <t>Backend</t>
  </si>
  <si>
    <t>REST Endpoints</t>
  </si>
  <si>
    <t>Schema APIs</t>
  </si>
  <si>
    <t>GET /api/schema/tables</t>
  </si>
  <si>
    <t>New endpoint: query table_embeddings, return all tables with description and updated_at</t>
  </si>
  <si>
    <t>Add Pydantic response schema TableMetaOut with table_name, description, updated_at fields</t>
  </si>
  <si>
    <t>POST /api/schema/sync</t>
  </si>
  <si>
    <t>New endpoint: manually trigger sync_schema() run</t>
  </si>
  <si>
    <t>29-May-2026</t>
  </si>
  <si>
    <t>Return SyncResult: tables_added, tables_updated, tables_skipped counts</t>
  </si>
  <si>
    <t>Chat API</t>
  </si>
  <si>
    <t>Update POST /api/chat/stream</t>
  </si>
  <si>
    <t>Swap ChromaDB retrieval call for pgvector similarity search function</t>
  </si>
  <si>
    <t>Swap in-memory dict lookup for FK dict loaded from app state (Supabase-backed)</t>
  </si>
  <si>
    <t>Confirm all SSE event types (tool_call, tool_result, response, done, error) still fire correctly</t>
  </si>
  <si>
    <t>QA</t>
  </si>
  <si>
    <t>Sync Test</t>
  </si>
  <si>
    <t>QA — sync_schema.py</t>
  </si>
  <si>
    <t>Add a test table to Supabase; restart backend</t>
  </si>
  <si>
    <t>02-Jun-2026</t>
  </si>
  <si>
    <t>Verify table appears in table_embeddings with correct description and embedding</t>
  </si>
  <si>
    <t>Verify FK rows written correctly to schema_relationships</t>
  </si>
  <si>
    <t>Verify unchanged tables are skipped on second restart (check startup logs)</t>
  </si>
  <si>
    <t>Retrieval Test</t>
  </si>
  <si>
    <t>QA — pgvector similarity search</t>
  </si>
  <si>
    <t>Run 8 representative natural language queries against the live system</t>
  </si>
  <si>
    <t>03-Jun-2026</t>
  </si>
  <si>
    <t>Verify correct tables in top-K; confirm FK neighbours included for join-heavy queries</t>
  </si>
  <si>
    <t>End-to-End</t>
  </si>
  <si>
    <t>QA — full pipeline smoke test</t>
  </si>
  <si>
    <t>Run 3 complex queries: natural language → pgvector → FK expansion → SQL → chart → SSE stream</t>
  </si>
  <si>
    <t>04-Jun-2026</t>
  </si>
  <si>
    <t>Verify SSE stream renders correctly in Chat UI — all event types fire as expected</t>
  </si>
  <si>
    <t>Bug Fixes</t>
  </si>
  <si>
    <t>Bug fixes + README update</t>
  </si>
  <si>
    <t>Fix any issues surfaced during QA sessions</t>
  </si>
  <si>
    <t>05-Jun-2026</t>
  </si>
  <si>
    <t>Update README: pgvector setup, schema_relationships, sync_schema.py, removed ChromaDB</t>
  </si>
  <si>
    <t>06-Jun-2026</t>
  </si>
  <si>
    <t>Phase 3 Total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</si>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</sst>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11827"/>
      <name val="Arial"/>
      <charset val="1"/>
    </font>
    <font>
      <b/>
      <sz val="9"/>
      <color rgb="FF111827"/>
      <name val="Arial"/>
      <charset val="1"/>
    </font>
    <font>
      <b/>
      <sz val="9"/>
      <color rgb="FF065F46"/>
      <name val="Arial"/>
      <charset val="1"/>
    </font>
    <font>
      <b/>
      <sz val="9"/>
      <color rgb="FF37415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2563EB"/>
        <bgColor rgb="FF0066CC"/>
      </patternFill>
    </fill>
    <fill>
      <patternFill patternType="solid">
        <fgColor rgb="FFF9FAFB"/>
        <bgColor rgb="FFFFFFFF"/>
      </patternFill>
    </fill>
    <fill>
      <patternFill patternType="solid">
        <fgColor rgb="FFD1FAE5"/>
        <bgColor rgb="FFCCFFFF"/>
      </patternFill>
    </fill>
    <fill>
      <patternFill patternType="solid">
        <fgColor rgb="FFFFFFFF"/>
        <bgColor rgb="FFF9FAFB"/>
      </patternFill>
    </fill>
    <fill>
      <patternFill patternType="solid">
        <fgColor rgb="FFF3F4F6"/>
        <bgColor rgb="FFF9FAFB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9FAFB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9669"/>
  </sheetPr>
  <dimension ref="A1:L59"/>
  <sheetViews>
    <sheetView tabSelected="1" zoomScaleNormal="100" workbookViewId="0">
      <pane ySplit="2" topLeftCell="A18" activePane="bottomLeft" state="frozen"/>
      <selection pane="bottomLeft" activeCell="F21" sqref="F21"/>
    </sheetView>
  </sheetViews>
  <sheetFormatPr defaultColWidth="8.7109375" defaultRowHeight="15"/>
  <cols>
    <col min="1" max="1" width="4" customWidth="1"/>
    <col min="2" max="3" width="16" customWidth="1"/>
    <col min="4" max="4" width="20" customWidth="1"/>
    <col min="5" max="5" width="28" customWidth="1"/>
    <col min="6" max="6" width="52" customWidth="1"/>
    <col min="7" max="7" width="13" customWidth="1"/>
    <col min="8" max="8" width="5" customWidth="1"/>
    <col min="9" max="9" width="10" customWidth="1"/>
    <col min="10" max="11" width="12" customWidth="1"/>
    <col min="12" max="12" width="32" customWidth="1"/>
  </cols>
  <sheetData>
    <row r="1" spans="1:12" ht="27.7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7.75" customHeight="1">
      <c r="A3" s="2">
        <v>1</v>
      </c>
      <c r="B3" s="13" t="s">
        <v>13</v>
      </c>
      <c r="C3" s="13" t="s">
        <v>14</v>
      </c>
      <c r="D3" s="3" t="s">
        <v>15</v>
      </c>
      <c r="E3" s="4" t="s">
        <v>16</v>
      </c>
      <c r="F3" s="3" t="s">
        <v>17</v>
      </c>
      <c r="G3" s="5" t="s">
        <v>18</v>
      </c>
      <c r="H3" s="2">
        <v>1</v>
      </c>
      <c r="I3" s="2" t="s">
        <v>19</v>
      </c>
      <c r="J3" s="2" t="s">
        <v>20</v>
      </c>
      <c r="K3" s="2" t="s">
        <v>20</v>
      </c>
      <c r="L3" s="3"/>
    </row>
    <row r="4" spans="1:12" ht="27.75" customHeight="1">
      <c r="A4" s="6">
        <v>2</v>
      </c>
      <c r="B4" s="14"/>
      <c r="C4" s="14"/>
      <c r="D4" s="7"/>
      <c r="E4" s="7"/>
      <c r="F4" s="7" t="s">
        <v>21</v>
      </c>
      <c r="G4" s="5" t="s">
        <v>18</v>
      </c>
      <c r="H4" s="6">
        <v>0.5</v>
      </c>
      <c r="I4" s="6" t="s">
        <v>19</v>
      </c>
      <c r="J4" s="6" t="s">
        <v>20</v>
      </c>
      <c r="K4" s="6" t="s">
        <v>20</v>
      </c>
      <c r="L4" s="7"/>
    </row>
    <row r="5" spans="1:12" ht="27.75" customHeight="1">
      <c r="A5" s="2">
        <v>3</v>
      </c>
      <c r="B5" s="14"/>
      <c r="C5" s="14"/>
      <c r="D5" s="3" t="s">
        <v>22</v>
      </c>
      <c r="E5" s="4" t="s">
        <v>23</v>
      </c>
      <c r="F5" s="3" t="s">
        <v>24</v>
      </c>
      <c r="G5" s="5" t="s">
        <v>18</v>
      </c>
      <c r="H5" s="2">
        <v>1.5</v>
      </c>
      <c r="I5" s="2" t="s">
        <v>19</v>
      </c>
      <c r="J5" s="2" t="s">
        <v>20</v>
      </c>
      <c r="K5" s="2" t="s">
        <v>20</v>
      </c>
      <c r="L5" s="3"/>
    </row>
    <row r="6" spans="1:12" ht="27.75" customHeight="1">
      <c r="A6" s="6">
        <v>4</v>
      </c>
      <c r="B6" s="14"/>
      <c r="C6" s="14"/>
      <c r="D6" s="7"/>
      <c r="E6" s="7"/>
      <c r="F6" s="7" t="s">
        <v>25</v>
      </c>
      <c r="G6" s="5" t="s">
        <v>18</v>
      </c>
      <c r="H6" s="6">
        <v>1</v>
      </c>
      <c r="I6" s="6" t="s">
        <v>19</v>
      </c>
      <c r="J6" s="6" t="s">
        <v>20</v>
      </c>
      <c r="K6" s="6" t="s">
        <v>20</v>
      </c>
      <c r="L6" s="7" t="s">
        <v>26</v>
      </c>
    </row>
    <row r="7" spans="1:12" ht="27.75" customHeight="1">
      <c r="A7" s="2">
        <v>5</v>
      </c>
      <c r="B7" s="14"/>
      <c r="C7" s="14"/>
      <c r="D7" s="3"/>
      <c r="E7" s="3"/>
      <c r="F7" s="3" t="s">
        <v>27</v>
      </c>
      <c r="G7" s="5" t="s">
        <v>18</v>
      </c>
      <c r="H7" s="2">
        <v>0.5</v>
      </c>
      <c r="I7" s="2" t="s">
        <v>19</v>
      </c>
      <c r="J7" s="2" t="s">
        <v>20</v>
      </c>
      <c r="K7" s="2" t="s">
        <v>20</v>
      </c>
      <c r="L7" s="3"/>
    </row>
    <row r="8" spans="1:12" ht="27.75" customHeight="1">
      <c r="A8" s="6">
        <v>6</v>
      </c>
      <c r="B8" s="14"/>
      <c r="C8" s="14"/>
      <c r="D8" s="7" t="s">
        <v>28</v>
      </c>
      <c r="E8" s="8" t="s">
        <v>29</v>
      </c>
      <c r="F8" s="7" t="s">
        <v>30</v>
      </c>
      <c r="G8" s="5" t="s">
        <v>18</v>
      </c>
      <c r="H8" s="6">
        <v>1</v>
      </c>
      <c r="I8" s="6" t="s">
        <v>19</v>
      </c>
      <c r="J8" s="6" t="s">
        <v>20</v>
      </c>
      <c r="K8" s="6" t="s">
        <v>20</v>
      </c>
      <c r="L8" s="7"/>
    </row>
    <row r="9" spans="1:12" ht="27.75" customHeight="1">
      <c r="A9" s="2">
        <v>7</v>
      </c>
      <c r="B9" s="15"/>
      <c r="C9" s="15"/>
      <c r="D9" s="3"/>
      <c r="E9" s="3"/>
      <c r="F9" s="3" t="s">
        <v>31</v>
      </c>
      <c r="G9" s="5" t="s">
        <v>18</v>
      </c>
      <c r="H9" s="2">
        <v>0.5</v>
      </c>
      <c r="I9" s="2" t="s">
        <v>19</v>
      </c>
      <c r="J9" s="2" t="s">
        <v>20</v>
      </c>
      <c r="K9" s="2" t="s">
        <v>20</v>
      </c>
      <c r="L9" s="3"/>
    </row>
    <row r="10" spans="1:12" ht="27.75" customHeight="1">
      <c r="A10" s="6">
        <v>8</v>
      </c>
      <c r="B10" s="16" t="s">
        <v>32</v>
      </c>
      <c r="C10" s="16" t="s">
        <v>33</v>
      </c>
      <c r="D10" s="7" t="s">
        <v>34</v>
      </c>
      <c r="E10" s="8" t="s">
        <v>35</v>
      </c>
      <c r="F10" s="7" t="s">
        <v>36</v>
      </c>
      <c r="G10" s="9" t="s">
        <v>37</v>
      </c>
      <c r="H10" s="6">
        <v>0.5</v>
      </c>
      <c r="I10" s="6" t="s">
        <v>19</v>
      </c>
      <c r="J10" s="6" t="s">
        <v>38</v>
      </c>
      <c r="K10" s="6" t="s">
        <v>38</v>
      </c>
      <c r="L10" s="7" t="s">
        <v>39</v>
      </c>
    </row>
    <row r="11" spans="1:12" ht="30.75" customHeight="1">
      <c r="A11" s="2">
        <v>9</v>
      </c>
      <c r="B11" s="17"/>
      <c r="C11" s="17"/>
      <c r="D11" s="3"/>
      <c r="E11" s="3"/>
      <c r="F11" s="3" t="s">
        <v>40</v>
      </c>
      <c r="G11" s="9" t="s">
        <v>37</v>
      </c>
      <c r="H11" s="2">
        <v>0.5</v>
      </c>
      <c r="I11" s="2" t="s">
        <v>19</v>
      </c>
      <c r="J11" s="2" t="s">
        <v>38</v>
      </c>
      <c r="K11" s="2" t="s">
        <v>38</v>
      </c>
      <c r="L11" s="3"/>
    </row>
    <row r="12" spans="1:12" ht="45.75" customHeight="1">
      <c r="A12" s="6">
        <v>10</v>
      </c>
      <c r="B12" s="17"/>
      <c r="C12" s="17"/>
      <c r="D12" s="7" t="s">
        <v>41</v>
      </c>
      <c r="E12" s="8" t="s">
        <v>42</v>
      </c>
      <c r="F12" s="7" t="s">
        <v>43</v>
      </c>
      <c r="G12" s="9" t="s">
        <v>37</v>
      </c>
      <c r="H12" s="6">
        <v>1</v>
      </c>
      <c r="I12" s="6" t="s">
        <v>19</v>
      </c>
      <c r="J12" s="6" t="s">
        <v>38</v>
      </c>
      <c r="K12" s="6" t="s">
        <v>38</v>
      </c>
      <c r="L12" s="7" t="s">
        <v>44</v>
      </c>
    </row>
    <row r="13" spans="1:12" ht="27.75" customHeight="1">
      <c r="A13" s="2">
        <v>11</v>
      </c>
      <c r="B13" s="17"/>
      <c r="C13" s="17"/>
      <c r="D13" s="3"/>
      <c r="E13" s="3"/>
      <c r="F13" s="3" t="s">
        <v>45</v>
      </c>
      <c r="G13" s="9" t="s">
        <v>37</v>
      </c>
      <c r="H13" s="2">
        <v>0.5</v>
      </c>
      <c r="I13" s="2" t="s">
        <v>19</v>
      </c>
      <c r="J13" s="2" t="s">
        <v>38</v>
      </c>
      <c r="K13" s="2" t="s">
        <v>38</v>
      </c>
      <c r="L13" s="3" t="s">
        <v>46</v>
      </c>
    </row>
    <row r="14" spans="1:12" ht="27.75" customHeight="1">
      <c r="A14" s="6">
        <v>12</v>
      </c>
      <c r="B14" s="17"/>
      <c r="C14" s="17"/>
      <c r="D14" s="7" t="s">
        <v>47</v>
      </c>
      <c r="E14" s="8" t="s">
        <v>48</v>
      </c>
      <c r="F14" s="7" t="s">
        <v>49</v>
      </c>
      <c r="G14" s="9" t="s">
        <v>37</v>
      </c>
      <c r="H14" s="6">
        <v>0.5</v>
      </c>
      <c r="I14" s="6" t="s">
        <v>19</v>
      </c>
      <c r="J14" s="6" t="s">
        <v>38</v>
      </c>
      <c r="K14" s="6" t="s">
        <v>38</v>
      </c>
      <c r="L14" s="7" t="s">
        <v>50</v>
      </c>
    </row>
    <row r="15" spans="1:12" ht="27.75" customHeight="1">
      <c r="A15" s="2">
        <v>13</v>
      </c>
      <c r="B15" s="17"/>
      <c r="C15" s="17"/>
      <c r="D15" s="3"/>
      <c r="E15" s="3"/>
      <c r="F15" s="3" t="s">
        <v>51</v>
      </c>
      <c r="G15" s="9" t="s">
        <v>37</v>
      </c>
      <c r="H15" s="2">
        <v>0.5</v>
      </c>
      <c r="I15" s="2" t="s">
        <v>19</v>
      </c>
      <c r="J15" s="2" t="s">
        <v>38</v>
      </c>
      <c r="K15" s="2" t="s">
        <v>38</v>
      </c>
      <c r="L15" s="3" t="s">
        <v>52</v>
      </c>
    </row>
    <row r="16" spans="1:12" ht="27.75" customHeight="1">
      <c r="A16" s="6">
        <v>14</v>
      </c>
      <c r="B16" s="17"/>
      <c r="C16" s="17"/>
      <c r="D16" s="7" t="s">
        <v>53</v>
      </c>
      <c r="E16" s="8" t="s">
        <v>54</v>
      </c>
      <c r="F16" s="7" t="s">
        <v>55</v>
      </c>
      <c r="G16" s="9" t="s">
        <v>37</v>
      </c>
      <c r="H16" s="6">
        <v>0.25</v>
      </c>
      <c r="I16" s="6" t="s">
        <v>19</v>
      </c>
      <c r="J16" s="6" t="s">
        <v>38</v>
      </c>
      <c r="K16" s="6" t="s">
        <v>38</v>
      </c>
      <c r="L16" s="7"/>
    </row>
    <row r="17" spans="1:12" ht="27.75" customHeight="1">
      <c r="A17" s="2">
        <v>15</v>
      </c>
      <c r="B17" s="17"/>
      <c r="C17" s="17"/>
      <c r="D17" s="3"/>
      <c r="E17" s="3"/>
      <c r="F17" s="3" t="s">
        <v>56</v>
      </c>
      <c r="G17" s="9" t="s">
        <v>37</v>
      </c>
      <c r="H17" s="2">
        <v>0.25</v>
      </c>
      <c r="I17" s="2" t="s">
        <v>19</v>
      </c>
      <c r="J17" s="2" t="s">
        <v>38</v>
      </c>
      <c r="K17" s="2" t="s">
        <v>38</v>
      </c>
      <c r="L17" s="3"/>
    </row>
    <row r="18" spans="1:12" ht="27.75" customHeight="1">
      <c r="A18" s="6">
        <v>16</v>
      </c>
      <c r="B18" s="17"/>
      <c r="C18" s="17"/>
      <c r="D18" s="7"/>
      <c r="E18" s="7"/>
      <c r="F18" s="7" t="s">
        <v>57</v>
      </c>
      <c r="G18" s="9" t="s">
        <v>37</v>
      </c>
      <c r="H18" s="6">
        <v>0.25</v>
      </c>
      <c r="I18" s="6" t="s">
        <v>19</v>
      </c>
      <c r="J18" s="6" t="s">
        <v>38</v>
      </c>
      <c r="K18" s="6" t="s">
        <v>38</v>
      </c>
      <c r="L18" s="7"/>
    </row>
    <row r="19" spans="1:12" ht="27.75" customHeight="1">
      <c r="A19" s="2">
        <v>17</v>
      </c>
      <c r="B19" s="18"/>
      <c r="C19" s="18"/>
      <c r="D19" s="3"/>
      <c r="E19" s="3"/>
      <c r="F19" s="3" t="s">
        <v>58</v>
      </c>
      <c r="G19" s="9" t="s">
        <v>37</v>
      </c>
      <c r="H19" s="2">
        <v>0.25</v>
      </c>
      <c r="I19" s="2" t="s">
        <v>19</v>
      </c>
      <c r="J19" s="2" t="s">
        <v>38</v>
      </c>
      <c r="K19" s="2" t="s">
        <v>38</v>
      </c>
      <c r="L19" s="3" t="s">
        <v>59</v>
      </c>
    </row>
    <row r="20" spans="1:12" ht="27.75" customHeight="1">
      <c r="A20" s="6">
        <v>18</v>
      </c>
      <c r="B20" s="16" t="s">
        <v>60</v>
      </c>
      <c r="C20" s="16" t="s">
        <v>61</v>
      </c>
      <c r="D20" s="7" t="s">
        <v>62</v>
      </c>
      <c r="E20" s="8" t="s">
        <v>63</v>
      </c>
      <c r="F20" s="7" t="s">
        <v>64</v>
      </c>
      <c r="G20" s="9" t="s">
        <v>37</v>
      </c>
      <c r="H20" s="6">
        <v>1</v>
      </c>
      <c r="I20" s="6" t="s">
        <v>19</v>
      </c>
      <c r="J20" s="6" t="s">
        <v>65</v>
      </c>
      <c r="K20" s="6" t="s">
        <v>65</v>
      </c>
      <c r="L20" s="7" t="s">
        <v>66</v>
      </c>
    </row>
    <row r="21" spans="1:12" ht="27.75" customHeight="1">
      <c r="A21" s="2">
        <v>19</v>
      </c>
      <c r="B21" s="17"/>
      <c r="C21" s="17"/>
      <c r="D21" s="3"/>
      <c r="E21" s="3"/>
      <c r="F21" s="3" t="s">
        <v>67</v>
      </c>
      <c r="G21" s="9" t="s">
        <v>37</v>
      </c>
      <c r="H21" s="2">
        <v>0.5</v>
      </c>
      <c r="I21" s="2" t="s">
        <v>19</v>
      </c>
      <c r="J21" s="2" t="s">
        <v>65</v>
      </c>
      <c r="K21" s="2" t="s">
        <v>65</v>
      </c>
      <c r="L21" s="3"/>
    </row>
    <row r="22" spans="1:12" ht="27.75" customHeight="1">
      <c r="A22" s="6">
        <v>20</v>
      </c>
      <c r="B22" s="17"/>
      <c r="C22" s="17"/>
      <c r="D22" s="7"/>
      <c r="E22" s="7"/>
      <c r="F22" s="7" t="s">
        <v>68</v>
      </c>
      <c r="G22" s="9" t="s">
        <v>37</v>
      </c>
      <c r="H22" s="6">
        <v>0.5</v>
      </c>
      <c r="I22" s="6" t="s">
        <v>19</v>
      </c>
      <c r="J22" s="6" t="s">
        <v>65</v>
      </c>
      <c r="K22" s="6" t="s">
        <v>65</v>
      </c>
      <c r="L22" s="7"/>
    </row>
    <row r="23" spans="1:12" ht="27.75" customHeight="1">
      <c r="A23" s="2">
        <v>21</v>
      </c>
      <c r="B23" s="17"/>
      <c r="C23" s="17"/>
      <c r="D23" s="3" t="s">
        <v>69</v>
      </c>
      <c r="E23" s="4" t="s">
        <v>70</v>
      </c>
      <c r="F23" s="3" t="s">
        <v>71</v>
      </c>
      <c r="G23" s="9" t="s">
        <v>37</v>
      </c>
      <c r="H23" s="2">
        <v>1</v>
      </c>
      <c r="I23" s="2" t="s">
        <v>19</v>
      </c>
      <c r="J23" s="2" t="s">
        <v>65</v>
      </c>
      <c r="K23" s="2" t="s">
        <v>72</v>
      </c>
      <c r="L23" s="3" t="s">
        <v>73</v>
      </c>
    </row>
    <row r="24" spans="1:12" ht="27.75" customHeight="1">
      <c r="A24" s="6">
        <v>22</v>
      </c>
      <c r="B24" s="17"/>
      <c r="C24" s="17"/>
      <c r="D24" s="7"/>
      <c r="E24" s="7"/>
      <c r="F24" s="7" t="s">
        <v>74</v>
      </c>
      <c r="G24" s="9" t="s">
        <v>37</v>
      </c>
      <c r="H24" s="6">
        <v>1</v>
      </c>
      <c r="I24" s="6" t="s">
        <v>19</v>
      </c>
      <c r="J24" s="6" t="s">
        <v>72</v>
      </c>
      <c r="K24" s="6" t="s">
        <v>72</v>
      </c>
      <c r="L24" s="7"/>
    </row>
    <row r="25" spans="1:12" ht="27.75" customHeight="1">
      <c r="A25" s="2">
        <v>23</v>
      </c>
      <c r="B25" s="17"/>
      <c r="C25" s="17"/>
      <c r="D25" s="3"/>
      <c r="E25" s="3"/>
      <c r="F25" s="3" t="s">
        <v>75</v>
      </c>
      <c r="G25" s="9" t="s">
        <v>37</v>
      </c>
      <c r="H25" s="2">
        <v>0.5</v>
      </c>
      <c r="I25" s="2" t="s">
        <v>19</v>
      </c>
      <c r="J25" s="2" t="s">
        <v>72</v>
      </c>
      <c r="K25" s="2" t="s">
        <v>72</v>
      </c>
      <c r="L25" s="3"/>
    </row>
    <row r="26" spans="1:12" ht="27.75" customHeight="1">
      <c r="A26" s="6">
        <v>24</v>
      </c>
      <c r="B26" s="17"/>
      <c r="C26" s="17"/>
      <c r="D26" s="7" t="s">
        <v>76</v>
      </c>
      <c r="E26" s="8" t="s">
        <v>77</v>
      </c>
      <c r="F26" s="7" t="s">
        <v>78</v>
      </c>
      <c r="G26" s="9" t="s">
        <v>37</v>
      </c>
      <c r="H26" s="6">
        <v>1</v>
      </c>
      <c r="I26" s="6" t="s">
        <v>19</v>
      </c>
      <c r="J26" s="6" t="s">
        <v>72</v>
      </c>
      <c r="K26" s="6" t="s">
        <v>72</v>
      </c>
      <c r="L26" s="7" t="s">
        <v>79</v>
      </c>
    </row>
    <row r="27" spans="1:12" ht="27.75" customHeight="1">
      <c r="A27" s="2">
        <v>25</v>
      </c>
      <c r="B27" s="17"/>
      <c r="C27" s="17"/>
      <c r="D27" s="3"/>
      <c r="E27" s="3"/>
      <c r="F27" s="3" t="s">
        <v>80</v>
      </c>
      <c r="G27" s="9" t="s">
        <v>37</v>
      </c>
      <c r="H27" s="2">
        <v>0.5</v>
      </c>
      <c r="I27" s="2" t="s">
        <v>19</v>
      </c>
      <c r="J27" s="2" t="s">
        <v>72</v>
      </c>
      <c r="K27" s="2" t="s">
        <v>72</v>
      </c>
      <c r="L27" s="3"/>
    </row>
    <row r="28" spans="1:12" ht="27.75" customHeight="1">
      <c r="A28" s="6">
        <v>26</v>
      </c>
      <c r="B28" s="17"/>
      <c r="C28" s="17"/>
      <c r="D28" s="7" t="s">
        <v>81</v>
      </c>
      <c r="E28" s="8" t="s">
        <v>82</v>
      </c>
      <c r="F28" s="7" t="s">
        <v>83</v>
      </c>
      <c r="G28" s="9" t="s">
        <v>37</v>
      </c>
      <c r="H28" s="6">
        <v>0.5</v>
      </c>
      <c r="I28" s="6" t="s">
        <v>19</v>
      </c>
      <c r="J28" s="6" t="s">
        <v>84</v>
      </c>
      <c r="K28" s="6" t="s">
        <v>84</v>
      </c>
      <c r="L28" s="7"/>
    </row>
    <row r="29" spans="1:12" ht="27.75" customHeight="1">
      <c r="A29" s="2">
        <v>27</v>
      </c>
      <c r="B29" s="17"/>
      <c r="C29" s="17"/>
      <c r="D29" s="3"/>
      <c r="E29" s="3"/>
      <c r="F29" s="3" t="s">
        <v>85</v>
      </c>
      <c r="G29" s="9" t="s">
        <v>37</v>
      </c>
      <c r="H29" s="2">
        <v>0.5</v>
      </c>
      <c r="I29" s="2" t="s">
        <v>19</v>
      </c>
      <c r="J29" s="2" t="s">
        <v>84</v>
      </c>
      <c r="K29" s="2" t="s">
        <v>84</v>
      </c>
      <c r="L29" s="3"/>
    </row>
    <row r="30" spans="1:12" ht="27.75" customHeight="1">
      <c r="A30" s="6">
        <v>28</v>
      </c>
      <c r="B30" s="17"/>
      <c r="C30" s="17"/>
      <c r="D30" s="7" t="s">
        <v>86</v>
      </c>
      <c r="E30" s="8" t="s">
        <v>87</v>
      </c>
      <c r="F30" s="7" t="s">
        <v>88</v>
      </c>
      <c r="G30" s="9" t="s">
        <v>37</v>
      </c>
      <c r="H30" s="6">
        <v>0.5</v>
      </c>
      <c r="I30" s="6" t="s">
        <v>19</v>
      </c>
      <c r="J30" s="6" t="s">
        <v>84</v>
      </c>
      <c r="K30" s="6" t="s">
        <v>84</v>
      </c>
      <c r="L30" s="7" t="s">
        <v>89</v>
      </c>
    </row>
    <row r="31" spans="1:12" ht="27.75" customHeight="1">
      <c r="A31" s="2">
        <v>29</v>
      </c>
      <c r="B31" s="17"/>
      <c r="C31" s="18"/>
      <c r="D31" s="3"/>
      <c r="E31" s="3"/>
      <c r="F31" s="3" t="s">
        <v>90</v>
      </c>
      <c r="G31" s="9" t="s">
        <v>37</v>
      </c>
      <c r="H31" s="2">
        <v>0.5</v>
      </c>
      <c r="I31" s="2" t="s">
        <v>19</v>
      </c>
      <c r="J31" s="2" t="s">
        <v>84</v>
      </c>
      <c r="K31" s="2" t="s">
        <v>84</v>
      </c>
      <c r="L31" s="3"/>
    </row>
    <row r="32" spans="1:12" ht="27.75" customHeight="1">
      <c r="A32" s="6">
        <v>30</v>
      </c>
      <c r="B32" s="17"/>
      <c r="C32" s="16" t="s">
        <v>91</v>
      </c>
      <c r="D32" s="7" t="s">
        <v>92</v>
      </c>
      <c r="E32" s="8" t="s">
        <v>93</v>
      </c>
      <c r="F32" s="7" t="s">
        <v>94</v>
      </c>
      <c r="G32" s="9" t="s">
        <v>37</v>
      </c>
      <c r="H32" s="6">
        <v>1</v>
      </c>
      <c r="I32" s="6" t="s">
        <v>19</v>
      </c>
      <c r="J32" s="6" t="s">
        <v>95</v>
      </c>
      <c r="K32" s="6" t="s">
        <v>95</v>
      </c>
      <c r="L32" s="7" t="s">
        <v>96</v>
      </c>
    </row>
    <row r="33" spans="1:12" ht="27.75" customHeight="1">
      <c r="A33" s="2">
        <v>31</v>
      </c>
      <c r="B33" s="17"/>
      <c r="C33" s="17"/>
      <c r="D33" s="3"/>
      <c r="E33" s="3"/>
      <c r="F33" s="3" t="s">
        <v>97</v>
      </c>
      <c r="G33" s="9" t="s">
        <v>37</v>
      </c>
      <c r="H33" s="2">
        <v>1</v>
      </c>
      <c r="I33" s="2" t="s">
        <v>19</v>
      </c>
      <c r="J33" s="2" t="s">
        <v>95</v>
      </c>
      <c r="K33" s="2" t="s">
        <v>95</v>
      </c>
      <c r="L33" s="3"/>
    </row>
    <row r="34" spans="1:12" ht="27.75" customHeight="1">
      <c r="A34" s="6">
        <v>32</v>
      </c>
      <c r="B34" s="17"/>
      <c r="C34" s="17"/>
      <c r="D34" s="7"/>
      <c r="E34" s="7"/>
      <c r="F34" s="7" t="s">
        <v>98</v>
      </c>
      <c r="G34" s="9" t="s">
        <v>37</v>
      </c>
      <c r="H34" s="6">
        <v>0.5</v>
      </c>
      <c r="I34" s="6" t="s">
        <v>19</v>
      </c>
      <c r="J34" s="6" t="s">
        <v>95</v>
      </c>
      <c r="K34" s="6" t="s">
        <v>99</v>
      </c>
      <c r="L34" s="7"/>
    </row>
    <row r="35" spans="1:12" ht="27.75" customHeight="1">
      <c r="A35" s="2">
        <v>33</v>
      </c>
      <c r="B35" s="17"/>
      <c r="C35" s="17"/>
      <c r="D35" s="3" t="s">
        <v>100</v>
      </c>
      <c r="E35" s="4" t="s">
        <v>101</v>
      </c>
      <c r="F35" s="3" t="s">
        <v>102</v>
      </c>
      <c r="G35" s="9" t="s">
        <v>37</v>
      </c>
      <c r="H35" s="2">
        <v>0.5</v>
      </c>
      <c r="I35" s="2" t="s">
        <v>19</v>
      </c>
      <c r="J35" s="2" t="s">
        <v>99</v>
      </c>
      <c r="K35" s="2" t="s">
        <v>99</v>
      </c>
      <c r="L35" s="3" t="s">
        <v>103</v>
      </c>
    </row>
    <row r="36" spans="1:12" ht="27.75" customHeight="1">
      <c r="A36" s="6">
        <v>34</v>
      </c>
      <c r="B36" s="17"/>
      <c r="C36" s="17"/>
      <c r="D36" s="7"/>
      <c r="E36" s="7"/>
      <c r="F36" s="7" t="s">
        <v>104</v>
      </c>
      <c r="G36" s="9" t="s">
        <v>37</v>
      </c>
      <c r="H36" s="6">
        <v>1</v>
      </c>
      <c r="I36" s="6" t="s">
        <v>19</v>
      </c>
      <c r="J36" s="6" t="s">
        <v>99</v>
      </c>
      <c r="K36" s="6" t="s">
        <v>99</v>
      </c>
      <c r="L36" s="7" t="s">
        <v>105</v>
      </c>
    </row>
    <row r="37" spans="1:12" ht="27.75" customHeight="1">
      <c r="A37" s="2">
        <v>35</v>
      </c>
      <c r="B37" s="17"/>
      <c r="C37" s="17"/>
      <c r="D37" s="3"/>
      <c r="E37" s="4" t="s">
        <v>106</v>
      </c>
      <c r="F37" s="3" t="s">
        <v>107</v>
      </c>
      <c r="G37" s="9" t="s">
        <v>37</v>
      </c>
      <c r="H37" s="2">
        <v>0.5</v>
      </c>
      <c r="I37" s="2" t="s">
        <v>19</v>
      </c>
      <c r="J37" s="2" t="s">
        <v>99</v>
      </c>
      <c r="K37" s="2" t="s">
        <v>99</v>
      </c>
      <c r="L37" s="3"/>
    </row>
    <row r="38" spans="1:12" ht="27.75" customHeight="1">
      <c r="A38" s="6">
        <v>36</v>
      </c>
      <c r="B38" s="17"/>
      <c r="C38" s="17"/>
      <c r="D38" s="7"/>
      <c r="E38" s="7"/>
      <c r="F38" s="7" t="s">
        <v>108</v>
      </c>
      <c r="G38" s="9" t="s">
        <v>37</v>
      </c>
      <c r="H38" s="6">
        <v>0.5</v>
      </c>
      <c r="I38" s="6" t="s">
        <v>19</v>
      </c>
      <c r="J38" s="6" t="s">
        <v>99</v>
      </c>
      <c r="K38" s="6" t="s">
        <v>99</v>
      </c>
      <c r="L38" s="7"/>
    </row>
    <row r="39" spans="1:12" ht="27.75" customHeight="1">
      <c r="A39" s="2">
        <v>37</v>
      </c>
      <c r="B39" s="17"/>
      <c r="C39" s="17"/>
      <c r="D39" s="3"/>
      <c r="E39" s="3"/>
      <c r="F39" s="3" t="s">
        <v>109</v>
      </c>
      <c r="G39" s="9" t="s">
        <v>37</v>
      </c>
      <c r="H39" s="2">
        <v>0.5</v>
      </c>
      <c r="I39" s="2" t="s">
        <v>19</v>
      </c>
      <c r="J39" s="2" t="s">
        <v>99</v>
      </c>
      <c r="K39" s="2" t="s">
        <v>99</v>
      </c>
      <c r="L39" s="3"/>
    </row>
    <row r="40" spans="1:12" ht="27.75" customHeight="1">
      <c r="A40" s="6">
        <v>38</v>
      </c>
      <c r="B40" s="17"/>
      <c r="C40" s="17"/>
      <c r="D40" s="7" t="s">
        <v>110</v>
      </c>
      <c r="E40" s="8" t="s">
        <v>111</v>
      </c>
      <c r="F40" s="7" t="s">
        <v>112</v>
      </c>
      <c r="G40" s="9" t="s">
        <v>37</v>
      </c>
      <c r="H40" s="6">
        <v>1</v>
      </c>
      <c r="I40" s="6" t="s">
        <v>19</v>
      </c>
      <c r="J40" s="6" t="s">
        <v>113</v>
      </c>
      <c r="K40" s="6" t="s">
        <v>113</v>
      </c>
      <c r="L40" s="7"/>
    </row>
    <row r="41" spans="1:12" ht="27.75" customHeight="1">
      <c r="A41" s="2">
        <v>39</v>
      </c>
      <c r="B41" s="18"/>
      <c r="C41" s="18"/>
      <c r="D41" s="3"/>
      <c r="E41" s="3"/>
      <c r="F41" s="3" t="s">
        <v>114</v>
      </c>
      <c r="G41" s="9" t="s">
        <v>37</v>
      </c>
      <c r="H41" s="2">
        <v>0.5</v>
      </c>
      <c r="I41" s="2" t="s">
        <v>19</v>
      </c>
      <c r="J41" s="2" t="s">
        <v>113</v>
      </c>
      <c r="K41" s="2" t="s">
        <v>113</v>
      </c>
      <c r="L41" s="3"/>
    </row>
    <row r="42" spans="1:12" ht="27.75" customHeight="1">
      <c r="A42" s="6">
        <v>40</v>
      </c>
      <c r="B42" s="16" t="s">
        <v>115</v>
      </c>
      <c r="C42" s="16" t="s">
        <v>116</v>
      </c>
      <c r="D42" s="7" t="s">
        <v>117</v>
      </c>
      <c r="E42" s="8" t="s">
        <v>118</v>
      </c>
      <c r="F42" s="7" t="s">
        <v>119</v>
      </c>
      <c r="G42" s="9" t="s">
        <v>37</v>
      </c>
      <c r="H42" s="6">
        <v>1</v>
      </c>
      <c r="I42" s="6" t="s">
        <v>19</v>
      </c>
      <c r="J42" s="6" t="s">
        <v>113</v>
      </c>
      <c r="K42" s="6" t="s">
        <v>113</v>
      </c>
      <c r="L42" s="7"/>
    </row>
    <row r="43" spans="1:12" ht="27.75" customHeight="1">
      <c r="A43" s="2">
        <v>41</v>
      </c>
      <c r="B43" s="17"/>
      <c r="C43" s="17"/>
      <c r="D43" s="3"/>
      <c r="E43" s="3"/>
      <c r="F43" s="3" t="s">
        <v>120</v>
      </c>
      <c r="G43" s="9" t="s">
        <v>37</v>
      </c>
      <c r="H43" s="2">
        <v>0.5</v>
      </c>
      <c r="I43" s="2" t="s">
        <v>19</v>
      </c>
      <c r="J43" s="2" t="s">
        <v>113</v>
      </c>
      <c r="K43" s="2" t="s">
        <v>113</v>
      </c>
      <c r="L43" s="3"/>
    </row>
    <row r="44" spans="1:12" ht="27.75" customHeight="1">
      <c r="A44" s="6">
        <v>42</v>
      </c>
      <c r="B44" s="17"/>
      <c r="C44" s="17"/>
      <c r="D44" s="7"/>
      <c r="E44" s="8" t="s">
        <v>121</v>
      </c>
      <c r="F44" s="7" t="s">
        <v>122</v>
      </c>
      <c r="G44" s="9" t="s">
        <v>37</v>
      </c>
      <c r="H44" s="6">
        <v>0.5</v>
      </c>
      <c r="I44" s="6" t="s">
        <v>19</v>
      </c>
      <c r="J44" s="6" t="s">
        <v>123</v>
      </c>
      <c r="K44" s="6" t="s">
        <v>123</v>
      </c>
      <c r="L44" s="7"/>
    </row>
    <row r="45" spans="1:12" ht="27.75" customHeight="1">
      <c r="A45" s="2">
        <v>43</v>
      </c>
      <c r="B45" s="17"/>
      <c r="C45" s="17"/>
      <c r="D45" s="3"/>
      <c r="E45" s="3"/>
      <c r="F45" s="3" t="s">
        <v>124</v>
      </c>
      <c r="G45" s="9" t="s">
        <v>37</v>
      </c>
      <c r="H45" s="2">
        <v>0.5</v>
      </c>
      <c r="I45" s="2" t="s">
        <v>19</v>
      </c>
      <c r="J45" s="2" t="s">
        <v>123</v>
      </c>
      <c r="K45" s="2" t="s">
        <v>123</v>
      </c>
      <c r="L45" s="3"/>
    </row>
    <row r="46" spans="1:12" ht="27.75" customHeight="1">
      <c r="A46" s="6">
        <v>44</v>
      </c>
      <c r="B46" s="17"/>
      <c r="C46" s="17"/>
      <c r="D46" s="7" t="s">
        <v>125</v>
      </c>
      <c r="E46" s="8" t="s">
        <v>126</v>
      </c>
      <c r="F46" s="7" t="s">
        <v>127</v>
      </c>
      <c r="G46" s="9" t="s">
        <v>37</v>
      </c>
      <c r="H46" s="6">
        <v>1.5</v>
      </c>
      <c r="I46" s="6" t="s">
        <v>19</v>
      </c>
      <c r="J46" s="6" t="s">
        <v>123</v>
      </c>
      <c r="K46" s="6" t="s">
        <v>123</v>
      </c>
      <c r="L46" s="7"/>
    </row>
    <row r="47" spans="1:12" ht="27.75" customHeight="1">
      <c r="A47" s="2">
        <v>45</v>
      </c>
      <c r="B47" s="17"/>
      <c r="C47" s="17"/>
      <c r="D47" s="3"/>
      <c r="E47" s="3"/>
      <c r="F47" s="3" t="s">
        <v>128</v>
      </c>
      <c r="G47" s="9" t="s">
        <v>37</v>
      </c>
      <c r="H47" s="2">
        <v>1</v>
      </c>
      <c r="I47" s="2" t="s">
        <v>19</v>
      </c>
      <c r="J47" s="2" t="s">
        <v>123</v>
      </c>
      <c r="K47" s="2" t="s">
        <v>123</v>
      </c>
      <c r="L47" s="3"/>
    </row>
    <row r="48" spans="1:12" ht="27.75" customHeight="1">
      <c r="A48" s="6">
        <v>46</v>
      </c>
      <c r="B48" s="18"/>
      <c r="C48" s="18"/>
      <c r="D48" s="7"/>
      <c r="E48" s="7"/>
      <c r="F48" s="7" t="s">
        <v>129</v>
      </c>
      <c r="G48" s="9" t="s">
        <v>37</v>
      </c>
      <c r="H48" s="6">
        <v>1</v>
      </c>
      <c r="I48" s="6" t="s">
        <v>19</v>
      </c>
      <c r="J48" s="6" t="s">
        <v>123</v>
      </c>
      <c r="K48" s="6" t="s">
        <v>123</v>
      </c>
      <c r="L48" s="7"/>
    </row>
    <row r="49" spans="1:12" ht="27.75" customHeight="1">
      <c r="A49" s="2">
        <v>47</v>
      </c>
      <c r="B49" s="13" t="s">
        <v>130</v>
      </c>
      <c r="C49" s="13" t="s">
        <v>61</v>
      </c>
      <c r="D49" s="3" t="s">
        <v>131</v>
      </c>
      <c r="E49" s="4" t="s">
        <v>132</v>
      </c>
      <c r="F49" s="3" t="s">
        <v>133</v>
      </c>
      <c r="G49" s="9" t="s">
        <v>37</v>
      </c>
      <c r="H49" s="2">
        <v>0.5</v>
      </c>
      <c r="I49" s="2" t="s">
        <v>19</v>
      </c>
      <c r="J49" s="2" t="s">
        <v>134</v>
      </c>
      <c r="K49" s="2" t="s">
        <v>134</v>
      </c>
      <c r="L49" s="3"/>
    </row>
    <row r="50" spans="1:12" ht="27.75" customHeight="1">
      <c r="A50" s="6">
        <v>48</v>
      </c>
      <c r="B50" s="14"/>
      <c r="C50" s="14"/>
      <c r="D50" s="7"/>
      <c r="E50" s="7"/>
      <c r="F50" s="7" t="s">
        <v>135</v>
      </c>
      <c r="G50" s="9" t="s">
        <v>37</v>
      </c>
      <c r="H50" s="6">
        <v>0.5</v>
      </c>
      <c r="I50" s="6" t="s">
        <v>19</v>
      </c>
      <c r="J50" s="6" t="s">
        <v>134</v>
      </c>
      <c r="K50" s="6" t="s">
        <v>134</v>
      </c>
      <c r="L50" s="7"/>
    </row>
    <row r="51" spans="1:12" ht="27.75" customHeight="1">
      <c r="A51" s="2">
        <v>49</v>
      </c>
      <c r="B51" s="14"/>
      <c r="C51" s="14"/>
      <c r="D51" s="3"/>
      <c r="E51" s="3"/>
      <c r="F51" s="3" t="s">
        <v>136</v>
      </c>
      <c r="G51" s="9" t="s">
        <v>37</v>
      </c>
      <c r="H51" s="2">
        <v>0.5</v>
      </c>
      <c r="I51" s="2" t="s">
        <v>19</v>
      </c>
      <c r="J51" s="2" t="s">
        <v>134</v>
      </c>
      <c r="K51" s="2" t="s">
        <v>134</v>
      </c>
      <c r="L51" s="3"/>
    </row>
    <row r="52" spans="1:12" ht="27.75" customHeight="1">
      <c r="A52" s="6">
        <v>50</v>
      </c>
      <c r="B52" s="14"/>
      <c r="C52" s="15"/>
      <c r="D52" s="7"/>
      <c r="E52" s="7"/>
      <c r="F52" s="7" t="s">
        <v>137</v>
      </c>
      <c r="G52" s="9" t="s">
        <v>37</v>
      </c>
      <c r="H52" s="6">
        <v>0.5</v>
      </c>
      <c r="I52" s="6" t="s">
        <v>19</v>
      </c>
      <c r="J52" s="6" t="s">
        <v>134</v>
      </c>
      <c r="K52" s="6" t="s">
        <v>134</v>
      </c>
      <c r="L52" s="7"/>
    </row>
    <row r="53" spans="1:12" ht="27.75" customHeight="1">
      <c r="A53" s="2">
        <v>51</v>
      </c>
      <c r="B53" s="14"/>
      <c r="C53" s="13" t="s">
        <v>91</v>
      </c>
      <c r="D53" s="3" t="s">
        <v>138</v>
      </c>
      <c r="E53" s="4" t="s">
        <v>139</v>
      </c>
      <c r="F53" s="3" t="s">
        <v>140</v>
      </c>
      <c r="G53" s="9" t="s">
        <v>37</v>
      </c>
      <c r="H53" s="2">
        <v>1</v>
      </c>
      <c r="I53" s="2" t="s">
        <v>19</v>
      </c>
      <c r="J53" s="2" t="s">
        <v>141</v>
      </c>
      <c r="K53" s="2" t="s">
        <v>141</v>
      </c>
      <c r="L53" s="3"/>
    </row>
    <row r="54" spans="1:12" ht="27.75" customHeight="1">
      <c r="A54" s="6">
        <v>52</v>
      </c>
      <c r="B54" s="14"/>
      <c r="C54" s="14"/>
      <c r="D54" s="7"/>
      <c r="E54" s="7"/>
      <c r="F54" s="7" t="s">
        <v>142</v>
      </c>
      <c r="G54" s="9" t="s">
        <v>37</v>
      </c>
      <c r="H54" s="6">
        <v>1</v>
      </c>
      <c r="I54" s="6" t="s">
        <v>19</v>
      </c>
      <c r="J54" s="6" t="s">
        <v>141</v>
      </c>
      <c r="K54" s="6" t="s">
        <v>141</v>
      </c>
      <c r="L54" s="7"/>
    </row>
    <row r="55" spans="1:12" ht="27.75" customHeight="1">
      <c r="A55" s="2">
        <v>53</v>
      </c>
      <c r="B55" s="14"/>
      <c r="C55" s="14"/>
      <c r="D55" s="3" t="s">
        <v>143</v>
      </c>
      <c r="E55" s="4" t="s">
        <v>144</v>
      </c>
      <c r="F55" s="3" t="s">
        <v>145</v>
      </c>
      <c r="G55" s="9" t="s">
        <v>37</v>
      </c>
      <c r="H55" s="2">
        <v>1</v>
      </c>
      <c r="I55" s="2" t="s">
        <v>19</v>
      </c>
      <c r="J55" s="2" t="s">
        <v>146</v>
      </c>
      <c r="K55" s="2" t="s">
        <v>146</v>
      </c>
      <c r="L55" s="3"/>
    </row>
    <row r="56" spans="1:12" ht="27.75" customHeight="1">
      <c r="A56" s="6">
        <v>54</v>
      </c>
      <c r="B56" s="14"/>
      <c r="C56" s="14"/>
      <c r="D56" s="7"/>
      <c r="E56" s="7"/>
      <c r="F56" s="7" t="s">
        <v>147</v>
      </c>
      <c r="G56" s="9" t="s">
        <v>37</v>
      </c>
      <c r="H56" s="6">
        <v>1</v>
      </c>
      <c r="I56" s="6" t="s">
        <v>19</v>
      </c>
      <c r="J56" s="6" t="s">
        <v>146</v>
      </c>
      <c r="K56" s="6" t="s">
        <v>146</v>
      </c>
      <c r="L56" s="7"/>
    </row>
    <row r="57" spans="1:12" ht="27.75" customHeight="1">
      <c r="A57" s="2">
        <v>55</v>
      </c>
      <c r="B57" s="14"/>
      <c r="C57" s="14"/>
      <c r="D57" s="3" t="s">
        <v>148</v>
      </c>
      <c r="E57" s="4" t="s">
        <v>149</v>
      </c>
      <c r="F57" s="3" t="s">
        <v>150</v>
      </c>
      <c r="G57" s="9" t="s">
        <v>37</v>
      </c>
      <c r="H57" s="2">
        <v>2</v>
      </c>
      <c r="I57" s="2" t="s">
        <v>19</v>
      </c>
      <c r="J57" s="2" t="s">
        <v>151</v>
      </c>
      <c r="K57" s="2" t="s">
        <v>151</v>
      </c>
      <c r="L57" s="3"/>
    </row>
    <row r="58" spans="1:12" ht="27.75" customHeight="1">
      <c r="A58" s="6">
        <v>56</v>
      </c>
      <c r="B58" s="15"/>
      <c r="C58" s="15"/>
      <c r="D58" s="7"/>
      <c r="E58" s="7"/>
      <c r="F58" s="7" t="s">
        <v>152</v>
      </c>
      <c r="G58" s="9" t="s">
        <v>37</v>
      </c>
      <c r="H58" s="6">
        <v>1</v>
      </c>
      <c r="I58" s="6" t="s">
        <v>19</v>
      </c>
      <c r="J58" s="6" t="s">
        <v>151</v>
      </c>
      <c r="K58" s="6" t="s">
        <v>153</v>
      </c>
      <c r="L58" s="7"/>
    </row>
    <row r="59" spans="1:12">
      <c r="A59" s="10"/>
      <c r="B59" s="10"/>
      <c r="C59" s="10"/>
      <c r="D59" s="10"/>
      <c r="E59" s="11" t="s">
        <v>154</v>
      </c>
      <c r="F59" s="10"/>
      <c r="G59" s="12" t="s">
        <v>155</v>
      </c>
      <c r="H59" s="12">
        <f>SUM(H3:H58)</f>
        <v>40.5</v>
      </c>
      <c r="I59" s="10"/>
      <c r="J59" s="10"/>
      <c r="K59" s="10"/>
      <c r="L59" s="10"/>
    </row>
  </sheetData>
  <mergeCells count="13">
    <mergeCell ref="A1:L1"/>
    <mergeCell ref="B3:B9"/>
    <mergeCell ref="B10:B19"/>
    <mergeCell ref="B20:B41"/>
    <mergeCell ref="B42:B48"/>
    <mergeCell ref="B49:B58"/>
    <mergeCell ref="C3:C9"/>
    <mergeCell ref="C10:C19"/>
    <mergeCell ref="C20:C31"/>
    <mergeCell ref="C32:C41"/>
    <mergeCell ref="C42:C48"/>
    <mergeCell ref="C49:C52"/>
    <mergeCell ref="C53:C5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2026-05-20T05:33:25Z</dcterms:created>
  <dcterms:modified xsi:type="dcterms:W3CDTF">2026-05-22T06:29:36Z</dcterms:modified>
  <cp:category/>
  <cp:contentStatus/>
</cp:coreProperties>
</file>